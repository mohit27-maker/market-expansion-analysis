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(DA)\Market Expansion Analysis\data\processed\"/>
    </mc:Choice>
  </mc:AlternateContent>
  <xr:revisionPtr revIDLastSave="0" documentId="13_ncr:1_{B23D80DA-489C-4330-90FE-34940ADD4B4D}" xr6:coauthVersionLast="36" xr6:coauthVersionMax="36" xr10:uidLastSave="{00000000-0000-0000-0000-000000000000}"/>
  <bookViews>
    <workbookView xWindow="0" yWindow="0" windowWidth="19200" windowHeight="7520" xr2:uid="{0DA8189A-B876-4465-84F7-1CA8BF778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J7" i="1" s="1"/>
  <c r="F2" i="1"/>
  <c r="J2" i="1" s="1"/>
  <c r="J4" i="1" l="1"/>
  <c r="J6" i="1"/>
  <c r="J5" i="1"/>
  <c r="J3" i="1"/>
</calcChain>
</file>

<file path=xl/sharedStrings.xml><?xml version="1.0" encoding="utf-8"?>
<sst xmlns="http://schemas.openxmlformats.org/spreadsheetml/2006/main" count="22" uniqueCount="22">
  <si>
    <t xml:space="preserve">City	</t>
  </si>
  <si>
    <t>Population</t>
  </si>
  <si>
    <t xml:space="preserve">Urbanization %	</t>
  </si>
  <si>
    <t>NSDP per capita</t>
  </si>
  <si>
    <t>Malls per capita</t>
  </si>
  <si>
    <t xml:space="preserve"> Indore</t>
  </si>
  <si>
    <t>Surat</t>
  </si>
  <si>
    <t>Coimbatore</t>
  </si>
  <si>
    <t xml:space="preserve"> Nagpur</t>
  </si>
  <si>
    <t xml:space="preserve"> Lucknow</t>
  </si>
  <si>
    <t xml:space="preserve"> Jaipur</t>
  </si>
  <si>
    <t>(Population weight)</t>
  </si>
  <si>
    <t>(Urbanization weight)</t>
  </si>
  <si>
    <t>(NSDP weight)</t>
  </si>
  <si>
    <t>(Saturation weight)</t>
  </si>
  <si>
    <t>Population Score</t>
  </si>
  <si>
    <t>Urbanization Score</t>
  </si>
  <si>
    <t>NSDP Score</t>
  </si>
  <si>
    <t>Saturation Score</t>
  </si>
  <si>
    <t>Final Score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</si>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</sst>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E3D5-4410-4ABE-AE15-87EE1C5CC0C7}">
  <dimension ref="A1:N7"/>
  <sheetViews>
    <sheetView tabSelected="1" zoomScale="90" zoomScaleNormal="90" workbookViewId="0">
      <selection activeCell="M9" sqref="M9"/>
    </sheetView>
  </sheetViews>
  <sheetFormatPr defaultRowHeight="14.5" x14ac:dyDescent="0.35"/>
  <cols>
    <col min="1" max="1" width="10.6328125" bestFit="1" customWidth="1"/>
    <col min="2" max="2" width="9.81640625" bestFit="1" customWidth="1"/>
    <col min="3" max="3" width="14.54296875" bestFit="1" customWidth="1"/>
    <col min="4" max="5" width="14.08984375" bestFit="1" customWidth="1"/>
    <col min="6" max="6" width="14.90625" bestFit="1" customWidth="1"/>
    <col min="7" max="7" width="16.6328125" bestFit="1" customWidth="1"/>
    <col min="8" max="8" width="11.81640625" bestFit="1" customWidth="1"/>
    <col min="9" max="9" width="14.54296875" bestFit="1" customWidth="1"/>
    <col min="10" max="10" width="11.81640625" bestFit="1" customWidth="1"/>
    <col min="11" max="11" width="4.81640625" bestFit="1" customWidth="1"/>
    <col min="12" max="12" width="19" bestFit="1" customWidth="1"/>
    <col min="13" max="13" width="7.81640625" bestFit="1" customWidth="1"/>
    <col min="14" max="14" width="9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M1" t="s">
        <v>20</v>
      </c>
      <c r="N1" t="s">
        <v>21</v>
      </c>
    </row>
    <row r="2" spans="1:14" x14ac:dyDescent="0.35">
      <c r="A2" t="s">
        <v>6</v>
      </c>
      <c r="B2">
        <v>6047509</v>
      </c>
      <c r="C2">
        <v>79.63</v>
      </c>
      <c r="D2">
        <v>272451</v>
      </c>
      <c r="E2">
        <v>8.2679000000000002E-2</v>
      </c>
      <c r="F2">
        <f t="shared" ref="F2:F7" si="0">(B2-MIN($B$2:$B$7))/(MAX($B$2:$B$7)-MIN($B$2:$B$7))*100</f>
        <v>100</v>
      </c>
      <c r="G2">
        <f t="shared" ref="G2:G7" si="1">(C2-MIN($C$2:$C$7))/(MAX($C$2:$C$7)-MIN($C$2:$C$7))*100</f>
        <v>100</v>
      </c>
      <c r="H2">
        <f t="shared" ref="H2:H7" si="2">(D2-MIN($D$2:$D$7))/(MAX($D$2:$D$7)-MIN($D$2:$D$7))*100</f>
        <v>64.762277363493737</v>
      </c>
      <c r="I2">
        <f t="shared" ref="I2:I7" si="3">100-((E2-MIN($E$2:$E$7))/(MAX($E$2:$E$7)-MIN($E$2:$E$7))*100)</f>
        <v>100</v>
      </c>
      <c r="J2">
        <f t="shared" ref="J2:J7" si="4">F2*$K$2 + G2*$K$3 + H2*$K$4 + I2*$K$5</f>
        <v>91.190569340873438</v>
      </c>
      <c r="K2">
        <v>0.3</v>
      </c>
      <c r="L2" t="s">
        <v>11</v>
      </c>
      <c r="M2">
        <v>21.170200000000001</v>
      </c>
      <c r="N2">
        <v>72.831100000000006</v>
      </c>
    </row>
    <row r="3" spans="1:14" x14ac:dyDescent="0.35">
      <c r="A3" t="s">
        <v>7</v>
      </c>
      <c r="B3">
        <v>3459471</v>
      </c>
      <c r="C3">
        <v>75.7</v>
      </c>
      <c r="D3">
        <v>361619</v>
      </c>
      <c r="E3">
        <v>8.6718000000000003E-2</v>
      </c>
      <c r="F3">
        <f t="shared" si="0"/>
        <v>45.666368689843914</v>
      </c>
      <c r="G3">
        <f t="shared" si="1"/>
        <v>92.478468899521545</v>
      </c>
      <c r="H3">
        <f t="shared" si="2"/>
        <v>100</v>
      </c>
      <c r="I3">
        <f t="shared" si="3"/>
        <v>98.949574914631825</v>
      </c>
      <c r="J3">
        <f t="shared" si="4"/>
        <v>81.932998115515431</v>
      </c>
      <c r="K3">
        <v>0.2</v>
      </c>
      <c r="L3" t="s">
        <v>12</v>
      </c>
      <c r="M3">
        <v>11.0168</v>
      </c>
      <c r="N3">
        <v>76.955799999999996</v>
      </c>
    </row>
    <row r="4" spans="1:14" x14ac:dyDescent="0.35">
      <c r="A4" t="s">
        <v>8</v>
      </c>
      <c r="B4">
        <v>4653570</v>
      </c>
      <c r="C4">
        <v>68.31</v>
      </c>
      <c r="D4">
        <v>309340</v>
      </c>
      <c r="E4">
        <v>0.107444</v>
      </c>
      <c r="F4">
        <f t="shared" si="0"/>
        <v>70.735449906513097</v>
      </c>
      <c r="G4">
        <f t="shared" si="1"/>
        <v>78.334928229665081</v>
      </c>
      <c r="H4">
        <f t="shared" si="2"/>
        <v>79.340201622623468</v>
      </c>
      <c r="I4">
        <f t="shared" si="3"/>
        <v>93.559352008135008</v>
      </c>
      <c r="J4">
        <f t="shared" si="4"/>
        <v>80.112509025576571</v>
      </c>
      <c r="K4">
        <v>0.25</v>
      </c>
      <c r="L4" t="s">
        <v>13</v>
      </c>
      <c r="M4">
        <v>21.145800000000001</v>
      </c>
      <c r="N4">
        <v>79.088200000000001</v>
      </c>
    </row>
    <row r="5" spans="1:14" x14ac:dyDescent="0.35">
      <c r="A5" t="s">
        <v>9</v>
      </c>
      <c r="B5">
        <v>4589838</v>
      </c>
      <c r="C5">
        <v>66.209999999999994</v>
      </c>
      <c r="D5">
        <v>108572</v>
      </c>
      <c r="E5">
        <v>0.26144699999999998</v>
      </c>
      <c r="F5">
        <f t="shared" si="0"/>
        <v>69.397451395417491</v>
      </c>
      <c r="G5">
        <f t="shared" si="1"/>
        <v>74.315789473684205</v>
      </c>
      <c r="H5">
        <f t="shared" si="2"/>
        <v>0</v>
      </c>
      <c r="I5">
        <f t="shared" si="3"/>
        <v>53.507701990320179</v>
      </c>
      <c r="J5">
        <f t="shared" si="4"/>
        <v>49.059318810942138</v>
      </c>
      <c r="K5">
        <v>0.25</v>
      </c>
      <c r="L5" t="s">
        <v>14</v>
      </c>
      <c r="M5">
        <v>26.846699999999998</v>
      </c>
      <c r="N5">
        <v>80.946200000000005</v>
      </c>
    </row>
    <row r="6" spans="1:14" x14ac:dyDescent="0.35">
      <c r="A6" t="s">
        <v>10</v>
      </c>
      <c r="B6">
        <v>4343589</v>
      </c>
      <c r="C6">
        <v>27.38</v>
      </c>
      <c r="D6">
        <v>185053</v>
      </c>
      <c r="E6">
        <v>0.23022400000000001</v>
      </c>
      <c r="F6">
        <f t="shared" si="0"/>
        <v>64.227665489455276</v>
      </c>
      <c r="G6">
        <f t="shared" si="1"/>
        <v>0</v>
      </c>
      <c r="H6">
        <f t="shared" si="2"/>
        <v>30.22402952811138</v>
      </c>
      <c r="I6">
        <f t="shared" si="3"/>
        <v>61.62788580820834</v>
      </c>
      <c r="J6">
        <f t="shared" si="4"/>
        <v>42.231278480916508</v>
      </c>
      <c r="M6">
        <v>26.912400000000002</v>
      </c>
      <c r="N6">
        <v>75.787300000000002</v>
      </c>
    </row>
    <row r="7" spans="1:14" x14ac:dyDescent="0.35">
      <c r="A7" t="s">
        <v>5</v>
      </c>
      <c r="B7">
        <v>1284275</v>
      </c>
      <c r="C7">
        <v>33.89</v>
      </c>
      <c r="D7">
        <v>152615</v>
      </c>
      <c r="E7">
        <v>0.46718999999999999</v>
      </c>
      <c r="F7">
        <f t="shared" si="0"/>
        <v>0</v>
      </c>
      <c r="G7">
        <f t="shared" si="1"/>
        <v>12.459330143540672</v>
      </c>
      <c r="H7">
        <f t="shared" si="2"/>
        <v>17.405067042881363</v>
      </c>
      <c r="I7">
        <f t="shared" si="3"/>
        <v>0</v>
      </c>
      <c r="J7">
        <f t="shared" si="4"/>
        <v>6.8431327894284752</v>
      </c>
      <c r="M7">
        <v>22.7196</v>
      </c>
      <c r="N7">
        <v>75.857699999999994</v>
      </c>
    </row>
  </sheetData>
  <sortState ref="A2:J7">
    <sortCondition descending="1" ref="J2:J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sengar</dc:creator>
  <cp:lastModifiedBy>mohit sengar</cp:lastModifiedBy>
  <dcterms:created xsi:type="dcterms:W3CDTF">2026-09-20T07:36:00Z</dcterms:created>
  <dcterms:modified xsi:type="dcterms:W3CDTF">2026-09-20T08:08:20Z</dcterms:modified>
</cp:coreProperties>
</file>